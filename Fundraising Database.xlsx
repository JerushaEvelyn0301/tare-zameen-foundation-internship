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ors" sheetId="1" state="visible" r:id="rId3"/>
    <sheet name="Contributions" sheetId="2" state="visible" r:id="rId4"/>
    <sheet name="Summary (Query Results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<sst xmlns="http://schemas.openxmlformats.org/spreadsheetml/2006/main" count="114" uniqueCount="71">
  <si>
    <t xml:space="preserve">DONORS TABLE</t>
  </si>
  <si>
    <t xml:space="preserve">Primary Key: DonorID</t>
  </si>
  <si>
    <t xml:space="preserve">DonorID (PK)</t>
  </si>
  <si>
    <t xml:space="preserve">Relation to Intern</t>
  </si>
  <si>
    <t xml:space="preserve">Contact Method</t>
  </si>
  <si>
    <t xml:space="preserve">Date Added to List</t>
  </si>
  <si>
    <t xml:space="preserve">D001</t>
  </si>
  <si>
    <t xml:space="preserve">College Senior</t>
  </si>
  <si>
    <t xml:space="preserve">WhatsApp</t>
  </si>
  <si>
    <t xml:space="preserve">24/06/2026</t>
  </si>
  <si>
    <t xml:space="preserve">D002</t>
  </si>
  <si>
    <t xml:space="preserve">Family Friend</t>
  </si>
  <si>
    <t xml:space="preserve">Phone Call</t>
  </si>
  <si>
    <t xml:space="preserve">D003</t>
  </si>
  <si>
    <t xml:space="preserve">Cousin</t>
  </si>
  <si>
    <t xml:space="preserve">25/06/2026</t>
  </si>
  <si>
    <t xml:space="preserve">D004</t>
  </si>
  <si>
    <t xml:space="preserve">School Friend</t>
  </si>
  <si>
    <t xml:space="preserve">D005</t>
  </si>
  <si>
    <t xml:space="preserve">Neighbor</t>
  </si>
  <si>
    <t xml:space="preserve">26/06/2026</t>
  </si>
  <si>
    <t xml:space="preserve">D006</t>
  </si>
  <si>
    <t xml:space="preserve">Classmate</t>
  </si>
  <si>
    <t xml:space="preserve">D007</t>
  </si>
  <si>
    <t xml:space="preserve">Uncle</t>
  </si>
  <si>
    <t xml:space="preserve">D008</t>
  </si>
  <si>
    <t xml:space="preserve">Family Acquaintance</t>
  </si>
  <si>
    <t xml:space="preserve">27/06/2026</t>
  </si>
  <si>
    <t xml:space="preserve">D009</t>
  </si>
  <si>
    <t xml:space="preserve">Aunt</t>
  </si>
  <si>
    <t xml:space="preserve">CONTRIBUTIONS TABLE</t>
  </si>
  <si>
    <t xml:space="preserve">Primary Key: ContributionID   |   Foreign Key: DonorID -&gt; Donors.DonorID</t>
  </si>
  <si>
    <t xml:space="preserve">ContributionID (PK)</t>
  </si>
  <si>
    <t xml:space="preserve">DonorID (FK)</t>
  </si>
  <si>
    <t xml:space="preserve">Date</t>
  </si>
  <si>
    <t xml:space="preserve">Amount (INR)</t>
  </si>
  <si>
    <t xml:space="preserve">Payment Mode</t>
  </si>
  <si>
    <t xml:space="preserve">Purpose</t>
  </si>
  <si>
    <t xml:space="preserve">Status</t>
  </si>
  <si>
    <t xml:space="preserve">C001</t>
  </si>
  <si>
    <t xml:space="preserve">30/06/2026</t>
  </si>
  <si>
    <t xml:space="preserve">UPI</t>
  </si>
  <si>
    <t xml:space="preserve">Stationery kit</t>
  </si>
  <si>
    <t xml:space="preserve">Received</t>
  </si>
  <si>
    <t xml:space="preserve">C002</t>
  </si>
  <si>
    <t xml:space="preserve">01/07/2026</t>
  </si>
  <si>
    <t xml:space="preserve">One month fees</t>
  </si>
  <si>
    <t xml:space="preserve">C003</t>
  </si>
  <si>
    <t xml:space="preserve">02/07/2026</t>
  </si>
  <si>
    <t xml:space="preserve">One month food support</t>
  </si>
  <si>
    <t xml:space="preserve">C004</t>
  </si>
  <si>
    <t xml:space="preserve">03/07/2026</t>
  </si>
  <si>
    <t xml:space="preserve">C005</t>
  </si>
  <si>
    <t xml:space="preserve">04/07/2026</t>
  </si>
  <si>
    <t xml:space="preserve">C006</t>
  </si>
  <si>
    <t xml:space="preserve">05/07/2026</t>
  </si>
  <si>
    <t xml:space="preserve">C007</t>
  </si>
  <si>
    <t xml:space="preserve">06/07/2026</t>
  </si>
  <si>
    <t xml:space="preserve">C008</t>
  </si>
  <si>
    <t xml:space="preserve">08/07/2026</t>
  </si>
  <si>
    <t xml:space="preserve">C009</t>
  </si>
  <si>
    <t xml:space="preserve">11/07/2026</t>
  </si>
  <si>
    <t xml:space="preserve">TOTAL RAISED:</t>
  </si>
  <si>
    <t xml:space="preserve">SUMMARY — DERIVED USING AGGREGATE QUERIES</t>
  </si>
  <si>
    <t xml:space="preserve">Values below are computed with formulas referencing the Contributions table (like SQL aggregate functions: SUM, COUNT, AVG, MAX, MIN).</t>
  </si>
  <si>
    <t xml:space="preserve">Total Number of Contributions</t>
  </si>
  <si>
    <t xml:space="preserve">Total Funds Raised (INR)</t>
  </si>
  <si>
    <t xml:space="preserve">Average Contribution (INR)</t>
  </si>
  <si>
    <t xml:space="preserve">Highest Single Contribution (INR)</t>
  </si>
  <si>
    <t xml:space="preserve">Lowest Single Contribution (INR)</t>
  </si>
  <si>
    <t xml:space="preserve">Total Number of Donors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</si>
</sst>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9</v>
      </c>
    </row>
    <row r="7" customFormat="false" ht="15" hidden="false" customHeight="false" outlineLevel="0" collapsed="false">
      <c r="A7" s="4" t="s">
        <v>13</v>
      </c>
      <c r="B7" s="4" t="s">
        <v>14</v>
      </c>
      <c r="C7" s="4" t="s">
        <v>8</v>
      </c>
      <c r="D7" s="4" t="s">
        <v>15</v>
      </c>
    </row>
    <row r="8" customFormat="false" ht="15" hidden="false" customHeight="false" outlineLevel="0" collapsed="false">
      <c r="A8" s="4" t="s">
        <v>16</v>
      </c>
      <c r="B8" s="4" t="s">
        <v>17</v>
      </c>
      <c r="C8" s="4" t="s">
        <v>8</v>
      </c>
      <c r="D8" s="4" t="s">
        <v>15</v>
      </c>
    </row>
    <row r="9" customFormat="false" ht="15" hidden="false" customHeight="false" outlineLevel="0" collapsed="false">
      <c r="A9" s="4" t="s">
        <v>18</v>
      </c>
      <c r="B9" s="4" t="s">
        <v>19</v>
      </c>
      <c r="C9" s="4" t="s">
        <v>12</v>
      </c>
      <c r="D9" s="4" t="s">
        <v>20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4" t="s">
        <v>8</v>
      </c>
      <c r="D10" s="4" t="s">
        <v>20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12</v>
      </c>
      <c r="D11" s="4" t="s">
        <v>20</v>
      </c>
    </row>
    <row r="12" customFormat="false" ht="15" hidden="false" customHeight="false" outlineLevel="0" collapsed="false">
      <c r="A12" s="4" t="s">
        <v>25</v>
      </c>
      <c r="B12" s="4" t="s">
        <v>26</v>
      </c>
      <c r="C12" s="4" t="s">
        <v>8</v>
      </c>
      <c r="D12" s="4" t="s">
        <v>27</v>
      </c>
    </row>
    <row r="13" customFormat="false" ht="15" hidden="false" customHeight="false" outlineLevel="0" collapsed="false">
      <c r="A13" s="4" t="s">
        <v>28</v>
      </c>
      <c r="B13" s="4" t="s">
        <v>29</v>
      </c>
      <c r="C13" s="4" t="s">
        <v>12</v>
      </c>
      <c r="D13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  <col collapsed="false" customWidth="true" hidden="false" outlineLevel="0" max="6" min="6" style="0" width="2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</row>
    <row r="5" customFormat="false" ht="15" hidden="false" customHeight="false" outlineLevel="0" collapsed="false">
      <c r="A5" s="4" t="s">
        <v>39</v>
      </c>
      <c r="B5" s="4" t="s">
        <v>6</v>
      </c>
      <c r="C5" s="4" t="s">
        <v>40</v>
      </c>
      <c r="D5" s="4" t="n">
        <v>500</v>
      </c>
      <c r="E5" s="4" t="s">
        <v>41</v>
      </c>
      <c r="F5" s="4" t="s">
        <v>42</v>
      </c>
      <c r="G5" s="4" t="s">
        <v>43</v>
      </c>
    </row>
    <row r="6" customFormat="false" ht="15" hidden="false" customHeight="false" outlineLevel="0" collapsed="false">
      <c r="A6" s="4" t="s">
        <v>44</v>
      </c>
      <c r="B6" s="4" t="s">
        <v>10</v>
      </c>
      <c r="C6" s="4" t="s">
        <v>45</v>
      </c>
      <c r="D6" s="4" t="n">
        <v>1000</v>
      </c>
      <c r="E6" s="4" t="s">
        <v>41</v>
      </c>
      <c r="F6" s="4" t="s">
        <v>46</v>
      </c>
      <c r="G6" s="4" t="s">
        <v>43</v>
      </c>
    </row>
    <row r="7" customFormat="false" ht="15" hidden="false" customHeight="false" outlineLevel="0" collapsed="false">
      <c r="A7" s="4" t="s">
        <v>47</v>
      </c>
      <c r="B7" s="4" t="s">
        <v>13</v>
      </c>
      <c r="C7" s="4" t="s">
        <v>48</v>
      </c>
      <c r="D7" s="4" t="n">
        <v>500</v>
      </c>
      <c r="E7" s="4" t="s">
        <v>41</v>
      </c>
      <c r="F7" s="4" t="s">
        <v>49</v>
      </c>
      <c r="G7" s="4" t="s">
        <v>43</v>
      </c>
    </row>
    <row r="8" customFormat="false" ht="15" hidden="false" customHeight="false" outlineLevel="0" collapsed="false">
      <c r="A8" s="4" t="s">
        <v>50</v>
      </c>
      <c r="B8" s="4" t="s">
        <v>16</v>
      </c>
      <c r="C8" s="4" t="s">
        <v>51</v>
      </c>
      <c r="D8" s="4" t="n">
        <v>700</v>
      </c>
      <c r="E8" s="4" t="s">
        <v>41</v>
      </c>
      <c r="F8" s="4" t="s">
        <v>42</v>
      </c>
      <c r="G8" s="4" t="s">
        <v>43</v>
      </c>
    </row>
    <row r="9" customFormat="false" ht="15" hidden="false" customHeight="false" outlineLevel="0" collapsed="false">
      <c r="A9" s="4" t="s">
        <v>52</v>
      </c>
      <c r="B9" s="4" t="s">
        <v>18</v>
      </c>
      <c r="C9" s="4" t="s">
        <v>53</v>
      </c>
      <c r="D9" s="4" t="n">
        <v>400</v>
      </c>
      <c r="E9" s="4" t="s">
        <v>41</v>
      </c>
      <c r="F9" s="4" t="s">
        <v>49</v>
      </c>
      <c r="G9" s="4" t="s">
        <v>43</v>
      </c>
    </row>
    <row r="10" customFormat="false" ht="15" hidden="false" customHeight="false" outlineLevel="0" collapsed="false">
      <c r="A10" s="4" t="s">
        <v>54</v>
      </c>
      <c r="B10" s="4" t="s">
        <v>21</v>
      </c>
      <c r="C10" s="4" t="s">
        <v>55</v>
      </c>
      <c r="D10" s="4" t="n">
        <v>300</v>
      </c>
      <c r="E10" s="4" t="s">
        <v>41</v>
      </c>
      <c r="F10" s="4" t="s">
        <v>42</v>
      </c>
      <c r="G10" s="4" t="s">
        <v>43</v>
      </c>
    </row>
    <row r="11" customFormat="false" ht="15" hidden="false" customHeight="false" outlineLevel="0" collapsed="false">
      <c r="A11" s="4" t="s">
        <v>56</v>
      </c>
      <c r="B11" s="4" t="s">
        <v>23</v>
      </c>
      <c r="C11" s="4" t="s">
        <v>57</v>
      </c>
      <c r="D11" s="4" t="n">
        <v>300</v>
      </c>
      <c r="E11" s="4" t="s">
        <v>41</v>
      </c>
      <c r="F11" s="4" t="s">
        <v>49</v>
      </c>
      <c r="G11" s="4" t="s">
        <v>43</v>
      </c>
    </row>
    <row r="12" customFormat="false" ht="15" hidden="false" customHeight="false" outlineLevel="0" collapsed="false">
      <c r="A12" s="4" t="s">
        <v>58</v>
      </c>
      <c r="B12" s="4" t="s">
        <v>25</v>
      </c>
      <c r="C12" s="4" t="s">
        <v>59</v>
      </c>
      <c r="D12" s="4" t="n">
        <v>300</v>
      </c>
      <c r="E12" s="4" t="s">
        <v>41</v>
      </c>
      <c r="F12" s="4" t="s">
        <v>42</v>
      </c>
      <c r="G12" s="4" t="s">
        <v>43</v>
      </c>
    </row>
    <row r="13" customFormat="false" ht="15" hidden="false" customHeight="false" outlineLevel="0" collapsed="false">
      <c r="A13" s="4" t="s">
        <v>60</v>
      </c>
      <c r="B13" s="4" t="s">
        <v>28</v>
      </c>
      <c r="C13" s="4" t="s">
        <v>61</v>
      </c>
      <c r="D13" s="4" t="n">
        <v>470</v>
      </c>
      <c r="E13" s="4" t="s">
        <v>41</v>
      </c>
      <c r="F13" s="4" t="s">
        <v>49</v>
      </c>
      <c r="G13" s="4" t="s">
        <v>43</v>
      </c>
    </row>
    <row r="15" customFormat="false" ht="15" hidden="false" customHeight="false" outlineLevel="0" collapsed="false">
      <c r="C15" s="5" t="s">
        <v>62</v>
      </c>
      <c r="D15" s="6" t="n">
        <f aca="false">SUM(D5:D13)</f>
        <v>4470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7" t="s">
        <v>65</v>
      </c>
      <c r="B4" s="8" t="n">
        <f aca="false">COUNT(Contributions!D5:D13)</f>
        <v>9</v>
      </c>
    </row>
    <row r="5" customFormat="false" ht="15" hidden="false" customHeight="false" outlineLevel="0" collapsed="false">
      <c r="A5" s="7" t="s">
        <v>66</v>
      </c>
      <c r="B5" s="8" t="n">
        <f aca="false">SUM(Contributions!D5:D13)</f>
        <v>4470</v>
      </c>
    </row>
    <row r="6" customFormat="false" ht="15" hidden="false" customHeight="false" outlineLevel="0" collapsed="false">
      <c r="A6" s="7" t="s">
        <v>67</v>
      </c>
      <c r="B6" s="8" t="n">
        <f aca="false">AVERAGE(Contributions!D5:D13)</f>
        <v>496.666666666667</v>
      </c>
    </row>
    <row r="7" customFormat="false" ht="15" hidden="false" customHeight="false" outlineLevel="0" collapsed="false">
      <c r="A7" s="7" t="s">
        <v>68</v>
      </c>
      <c r="B7" s="8" t="n">
        <f aca="false">MAX(Contributions!D5:D13)</f>
        <v>1000</v>
      </c>
    </row>
    <row r="8" customFormat="false" ht="15" hidden="false" customHeight="false" outlineLevel="0" collapsed="false">
      <c r="A8" s="7" t="s">
        <v>69</v>
      </c>
      <c r="B8" s="8" t="n">
        <f aca="false">MIN(Contributions!D5:D13)</f>
        <v>300</v>
      </c>
    </row>
    <row r="9" customFormat="false" ht="15" hidden="false" customHeight="false" outlineLevel="0" collapsed="false">
      <c r="A9" s="7" t="s">
        <v>70</v>
      </c>
      <c r="B9" s="8" t="n">
        <f aca="false">COUNTA(Donors!A5:A13)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2026-07-20T21:07:36Z</dcterms:created>
  <dc:creator>openpyxl</dc:creator>
  <dc:description/>
  <dc:language>en-US</dc:language>
  <cp:lastModifiedBy/>
  <dcterms:modified xsi:type="dcterms:W3CDTF">2026-07-20T21:07:36Z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